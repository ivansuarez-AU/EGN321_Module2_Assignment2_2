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2fb086e8e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dab6b835e544f1f"/>
    <x:sheet xmlns:r="http://schemas.openxmlformats.org/officeDocument/2006/relationships" name="Inputs" sheetId="2" r:id="Ra504c7b62dbb476b"/>
    <x:sheet xmlns:r="http://schemas.openxmlformats.org/officeDocument/2006/relationships" name="Calculation Chain" sheetId="3" r:id="R136f64c575554db6"/>
    <x:sheet xmlns:r="http://schemas.openxmlformats.org/officeDocument/2006/relationships" name="Operating Limits" sheetId="4" r:id="R553c24624c7d41b7"/>
    <x:sheet xmlns:r="http://schemas.openxmlformats.org/officeDocument/2006/relationships" name="Reference Cases" sheetId="5" r:id="R30c0d825fe0e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B4C6E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7b8bb45ae49da" /><Relationship Type="http://schemas.openxmlformats.org/officeDocument/2006/relationships/theme" Target="/xl/theme/theme1.xml" Id="R948bcf2aee7341e7" /><Relationship Type="http://schemas.openxmlformats.org/officeDocument/2006/relationships/sharedStrings" Target="/xl/sharedStrings.xml" Id="Re64f790bec7040f4" /><Relationship Type="http://schemas.openxmlformats.org/officeDocument/2006/relationships/worksheet" Target="/xl/worksheets/sheet1.xml" Id="R6dab6b835e544f1f" /><Relationship Type="http://schemas.openxmlformats.org/officeDocument/2006/relationships/worksheet" Target="/xl/worksheets/sheet2.xml" Id="Ra504c7b62dbb476b" /><Relationship Type="http://schemas.openxmlformats.org/officeDocument/2006/relationships/worksheet" Target="/xl/worksheets/sheet3.xml" Id="R136f64c575554db6" /><Relationship Type="http://schemas.openxmlformats.org/officeDocument/2006/relationships/worksheet" Target="/xl/worksheets/sheet4.xml" Id="R553c24624c7d41b7" /><Relationship Type="http://schemas.openxmlformats.org/officeDocument/2006/relationships/worksheet" Target="/xl/worksheets/sheet5.xml" Id="R30c0d825fe0e44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8" hidden="0" customWidth="1"/>
  </x:cols>
  <x:sheetData>
    <x:row r="1">
      <x:c r="A1" s="5" t="str">
        <x:v>EGN 321 — Module 2 Assigned Workbook</x:v>
      </x:c>
      <x:c r="B1" s="5"/>
      <x:c r="C1" s="5"/>
      <x:c r="D1" s="5"/>
      <x:c r="E1" s="5"/>
      <x:c r="F1" s="5"/>
    </x:row>
    <x:row r="3">
      <x:c r="A3" s="11" t="str">
        <x:v>Legacy Pump Head &amp; Power Workbook — rev6</x:v>
      </x:c>
      <x:c r="B3" s="11"/>
      <x:c r="C3" s="11"/>
      <x:c r="D3" s="11"/>
      <x:c r="E3" s="11"/>
      <x:c r="F3" s="11"/>
    </x:row>
    <x:row r="5">
      <x:c r="A5" s="16" t="str">
        <x:v>Purpose</x:v>
      </x:c>
      <x:c r="B5" s="17" t="str">
        <x:v>Estimate pump differential head and required brake horsepower from field operating inputs.</x:v>
      </x:c>
    </x:row>
    <x:row r="6">
      <x:c r="A6" s="16" t="str">
        <x:v>Context</x:v>
      </x:c>
      <x:c r="B6" s="17" t="str">
        <x:v>This workbook has been revised repeatedly and is still used as a field planning aid.</x:v>
      </x:c>
    </x:row>
    <x:row r="7">
      <x:c r="A7" s="16" t="str">
        <x:v>Module 2 focus</x:v>
      </x:c>
      <x:c r="B7" s="17" t="str">
        <x:v>Trace the full calculation chain, determine where unit conversions occur, and rebuild the logic using units.py at the input boundary.</x:v>
      </x:c>
    </x:row>
    <x:row r="8">
      <x:c r="A8" s="16" t="str">
        <x:v>Warning</x:v>
      </x:c>
      <x:c r="B8" s="17" t="str">
        <x:v>Do not assume each intermediate value is in the unit named by the next formula. Verify the chain.</x:v>
      </x:c>
    </x:row>
    <x:row r="9">
      <x:c r="A9" s="16" t="str">
        <x:v>Validation</x:v>
      </x:c>
      <x:c r="B9" s="17" t="str">
        <x:v>Your Python replacement must refuse physically impossible inputs and at least one impossible combination of otherwise legal values.</x:v>
      </x:c>
    </x:row>
    <x:row r="10">
      <x:c r="A10" s="16" t="str">
        <x:v>Submission</x:v>
      </x:c>
      <x:c r="B10" s="17" t="str">
        <x:v>The workbook is the inherited artifact. Your final tool must be tested, documented, and submitted through GitHub.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44" hidden="0" customWidth="1"/>
  </x:cols>
  <x:sheetData>
    <x:row r="1">
      <x:c r="A1" s="5" t="str">
        <x:v>Pump Operating Inputs</x:v>
      </x:c>
      <x:c r="B1" s="5"/>
      <x:c r="C1" s="5"/>
      <x:c r="D1" s="5"/>
    </x:row>
    <x:row r="3">
      <x:c r="A3" s="24" t="str">
        <x:v>Input</x:v>
      </x:c>
      <x:c r="B3" s="24" t="str">
        <x:v>Value</x:v>
      </x:c>
      <x:c r="C3" s="24" t="str">
        <x:v>Unit</x:v>
      </x:c>
      <x:c r="D3" s="24" t="str">
        <x:v>Field Note</x:v>
      </x:c>
    </x:row>
    <x:row r="4">
      <x:c r="A4" s="17" t="str">
        <x:v>Suction Pressure</x:v>
      </x:c>
      <x:c r="B4" s="32" t="n">
        <x:v>110</x:v>
      </x:c>
      <x:c r="C4" s="17" t="str">
        <x:v>kPa</x:v>
      </x:c>
      <x:c r="D4" s="17" t="str">
        <x:v>Gauge pressure at pump inlet</x:v>
      </x:c>
    </x:row>
    <x:row r="5">
      <x:c r="A5" s="17" t="str">
        <x:v>Discharge Pressure</x:v>
      </x:c>
      <x:c r="B5" s="32" t="n">
        <x:v>420</x:v>
      </x:c>
      <x:c r="C5" s="17" t="str">
        <x:v>kPa</x:v>
      </x:c>
      <x:c r="D5" s="17" t="str">
        <x:v>Gauge pressure at pump discharge</x:v>
      </x:c>
    </x:row>
    <x:row r="6">
      <x:c r="A6" s="17" t="str">
        <x:v>Flow Rate</x:v>
      </x:c>
      <x:c r="B6" s="32" t="n">
        <x:v>145</x:v>
      </x:c>
      <x:c r="C6" s="17" t="str">
        <x:v>gpm</x:v>
      </x:c>
      <x:c r="D6" s="17" t="str">
        <x:v>Requested operating flow</x:v>
      </x:c>
    </x:row>
    <x:row r="7">
      <x:c r="A7" s="17" t="str">
        <x:v>Rated Flow</x:v>
      </x:c>
      <x:c r="B7" s="32" t="n">
        <x:v>180</x:v>
      </x:c>
      <x:c r="C7" s="17" t="str">
        <x:v>gpm</x:v>
      </x:c>
      <x:c r="D7" s="17" t="str">
        <x:v>Pump nameplate maximum for this exercise</x:v>
      </x:c>
    </x:row>
    <x:row r="8">
      <x:c r="A8" s="17" t="str">
        <x:v>Specific Gravity</x:v>
      </x:c>
      <x:c r="B8" s="32" t="n">
        <x:v>1</x:v>
      </x:c>
      <x:c r="C8" s="17" t="str">
        <x:v>ratio</x:v>
      </x:c>
      <x:c r="D8" s="17" t="str">
        <x:v>Water-like fluid</x:v>
      </x:c>
    </x:row>
    <x:row r="9">
      <x:c r="A9" s="17" t="str">
        <x:v>Pump Efficiency</x:v>
      </x:c>
      <x:c r="B9" s="32" t="n">
        <x:v>72</x:v>
      </x:c>
      <x:c r="C9" s="17" t="str">
        <x:v>%</x:v>
      </x:c>
      <x:c r="D9" s="17" t="str">
        <x:v>Operating efficiency estimate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2" hidden="0" customWidth="1"/>
    <x:col min="4" max="4" width="16" hidden="0" customWidth="1"/>
    <x:col min="5" max="5" width="12" hidden="0" customWidth="1"/>
    <x:col min="6" max="6" width="38" hidden="0" customWidth="1"/>
  </x:cols>
  <x:sheetData>
    <x:row r="1">
      <x:c r="A1" s="5" t="str">
        <x:v>Legacy Calculation Chain</x:v>
      </x:c>
      <x:c r="B1" s="5"/>
      <x:c r="C1" s="5"/>
      <x:c r="D1" s="5"/>
      <x:c r="E1" s="5"/>
      <x:c r="F1" s="5"/>
    </x:row>
    <x:row r="3">
      <x:c r="A3" s="24" t="str">
        <x:v>Step</x:v>
      </x:c>
      <x:c r="B3" s="24" t="str">
        <x:v>Quantity</x:v>
      </x:c>
      <x:c r="C3" s="24" t="str">
        <x:v>Formula / Source</x:v>
      </x:c>
      <x:c r="D3" s="24" t="str">
        <x:v>Value</x:v>
      </x:c>
      <x:c r="E3" s="24" t="str">
        <x:v>Unit</x:v>
      </x:c>
      <x:c r="F3" s="24" t="str">
        <x:v>Comment</x:v>
      </x:c>
    </x:row>
    <x:row r="4">
      <x:c r="A4" s="17" t="n">
        <x:v>1</x:v>
      </x:c>
      <x:c r="B4" s="17" t="str">
        <x:v>Suction Pressure</x:v>
      </x:c>
      <x:c r="C4" s="17" t="str">
        <x:v>Inputs!B4</x:v>
      </x:c>
      <x:c r="D4" s="36" t="n">
        <x:f>Inputs!B4/6.89476</x:f>
        <x:v>15.954144886841602</x:v>
      </x:c>
      <x:c r="E4" s="17" t="str">
        <x:v>psi</x:v>
      </x:c>
      <x:c r="F4" s="17" t="str">
        <x:v>Converted from external kPa input</x:v>
      </x:c>
    </x:row>
    <x:row r="5">
      <x:c r="A5" s="17" t="n">
        <x:v>2</x:v>
      </x:c>
      <x:c r="B5" s="17" t="str">
        <x:v>Discharge Pressure</x:v>
      </x:c>
      <x:c r="C5" s="17" t="str">
        <x:v>Inputs!B5</x:v>
      </x:c>
      <x:c r="D5" s="36" t="n">
        <x:f>Inputs!B5/6.89476</x:f>
        <x:v>60.915825931577025</x:v>
      </x:c>
      <x:c r="E5" s="17" t="str">
        <x:v>psi</x:v>
      </x:c>
      <x:c r="F5" s="17" t="str">
        <x:v>Converted from external kPa input</x:v>
      </x:c>
    </x:row>
    <x:row r="6">
      <x:c r="A6" s="17" t="n">
        <x:v>3</x:v>
      </x:c>
      <x:c r="B6" s="17" t="str">
        <x:v>Differential Pressure</x:v>
      </x:c>
      <x:c r="C6" s="17" t="str">
        <x:v>Discharge - Suction</x:v>
      </x:c>
      <x:c r="D6" s="36" t="n">
        <x:f>(D5-D4)/6.89476</x:f>
        <x:v>6.52113794312426</x:v>
      </x:c>
      <x:c r="E6" s="17" t="str">
        <x:v>psi</x:v>
      </x:c>
      <x:c r="F6" s="17" t="str">
        <x:v>Feeds head calculation</x:v>
      </x:c>
    </x:row>
    <x:row r="7">
      <x:c r="A7" s="17" t="n">
        <x:v>4</x:v>
      </x:c>
      <x:c r="B7" s="17" t="str">
        <x:v>Pump Head</x:v>
      </x:c>
      <x:c r="C7" s="17" t="str">
        <x:v>ΔP × 2.31 / SG</x:v>
      </x:c>
      <x:c r="D7" s="36" t="n">
        <x:f>D6*2.31/Inputs!B8</x:f>
        <x:v>15.06382864861704</x:v>
      </x:c>
      <x:c r="E7" s="17" t="str">
        <x:v>ft</x:v>
      </x:c>
      <x:c r="F7" s="17" t="str">
        <x:v>Head from pressure difference</x:v>
      </x:c>
    </x:row>
    <x:row r="8">
      <x:c r="A8" s="17" t="n">
        <x:v>5</x:v>
      </x:c>
      <x:c r="B8" s="17" t="str">
        <x:v>Hydraulic Horsepower</x:v>
      </x:c>
      <x:c r="C8" s="17" t="str">
        <x:v>Flow × Head × SG / 3960</x:v>
      </x:c>
      <x:c r="D8" s="36" t="n">
        <x:f>Inputs!B6*D7*Inputs!B8/3960</x:f>
        <x:v>0.551579584355927</x:v>
      </x:c>
      <x:c r="E8" s="17" t="str">
        <x:v>hp</x:v>
      </x:c>
      <x:c r="F8" s="17" t="str">
        <x:v>Power delivered to fluid</x:v>
      </x:c>
    </x:row>
    <x:row r="9">
      <x:c r="A9" s="17" t="n">
        <x:v>6</x:v>
      </x:c>
      <x:c r="B9" s="17" t="str">
        <x:v>Efficiency Fraction</x:v>
      </x:c>
      <x:c r="C9" s="17" t="str">
        <x:v>Efficiency % / 100</x:v>
      </x:c>
      <x:c r="D9" s="36" t="n">
        <x:f>Inputs!B9/100</x:f>
        <x:v>0.72</x:v>
      </x:c>
      <x:c r="E9" s="17" t="str">
        <x:v>ratio</x:v>
      </x:c>
      <x:c r="F9" s="17" t="str">
        <x:v>Decimal efficiency</x:v>
      </x:c>
    </x:row>
    <x:row r="10">
      <x:c r="A10" s="17" t="n">
        <x:v>7</x:v>
      </x:c>
      <x:c r="B10" s="17" t="str">
        <x:v>Brake Horsepower</x:v>
      </x:c>
      <x:c r="C10" s="17" t="str">
        <x:v>Hydraulic HP / efficiency</x:v>
      </x:c>
      <x:c r="D10" s="36" t="n">
        <x:f>D8/D9</x:f>
        <x:v>0.7660827560498986</x:v>
      </x:c>
      <x:c r="E10" s="17" t="str">
        <x:v>hp</x:v>
      </x:c>
      <x:c r="F10" s="17" t="str">
        <x:v>Estimated shaft power</x:v>
      </x:c>
    </x:row>
    <x:row r="11">
      <x:c r="A11" s="17" t="n">
        <x:v>8</x:v>
      </x:c>
      <x:c r="B11" s="17" t="str">
        <x:v>Flow Margin</x:v>
      </x:c>
      <x:c r="C11" s="17" t="str">
        <x:v>Rated Flow - Requested Flow</x:v>
      </x:c>
      <x:c r="D11" s="36" t="n">
        <x:f>Inputs!B7-Inputs!B6</x:f>
        <x:v>35</x:v>
      </x:c>
      <x:c r="E11" s="17" t="str">
        <x:v>gpm</x:v>
      </x:c>
      <x:c r="F11" s="17" t="str">
        <x:v>Positive margin expected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4" hidden="0" customWidth="1"/>
    <x:col min="4" max="4" width="48" hidden="0" customWidth="1"/>
    <x:col min="5" max="5" width="22" hidden="0" customWidth="1"/>
  </x:cols>
  <x:sheetData>
    <x:row r="1">
      <x:c r="A1" s="5" t="str">
        <x:v>Operating Limits for the Python Replacement</x:v>
      </x:c>
      <x:c r="B1" s="5"/>
      <x:c r="C1" s="5"/>
      <x:c r="D1" s="5"/>
      <x:c r="E1" s="5"/>
    </x:row>
    <x:row r="3">
      <x:c r="A3" s="24" t="str">
        <x:v>Rule ID</x:v>
      </x:c>
      <x:c r="B3" s="24" t="str">
        <x:v>Quantity / Relationship</x:v>
      </x:c>
      <x:c r="C3" s="24" t="str">
        <x:v>Supported Condition</x:v>
      </x:c>
      <x:c r="D3" s="24" t="str">
        <x:v>Why</x:v>
      </x:c>
      <x:c r="E3" s="24" t="str">
        <x:v>Expected Tool Behavior</x:v>
      </x:c>
    </x:row>
    <x:row r="4">
      <x:c r="A4" s="17" t="str">
        <x:v>L1</x:v>
      </x:c>
      <x:c r="B4" s="17" t="str">
        <x:v>Suction pressure</x:v>
      </x:c>
      <x:c r="C4" s="17" t="str">
        <x:v>&gt;= 0 kPa</x:v>
      </x:c>
      <x:c r="D4" s="17" t="str">
        <x:v>Negative gauge pressure is outside this exercise's supported model.</x:v>
      </x:c>
      <x:c r="E4" s="17" t="str">
        <x:v>Reject</x:v>
      </x:c>
    </x:row>
    <x:row r="5">
      <x:c r="A5" s="17" t="str">
        <x:v>L2</x:v>
      </x:c>
      <x:c r="B5" s="17" t="str">
        <x:v>Discharge pressure</x:v>
      </x:c>
      <x:c r="C5" s="17" t="str">
        <x:v>&gt;= 0 kPa</x:v>
      </x:c>
      <x:c r="D5" s="17" t="str">
        <x:v>Negative gauge pressure is outside this exercise's supported model.</x:v>
      </x:c>
      <x:c r="E5" s="17" t="str">
        <x:v>Reject</x:v>
      </x:c>
    </x:row>
    <x:row r="6">
      <x:c r="A6" s="17" t="str">
        <x:v>L3</x:v>
      </x:c>
      <x:c r="B6" s="17" t="str">
        <x:v>Flow rate</x:v>
      </x:c>
      <x:c r="C6" s="17" t="str">
        <x:v>&gt; 0 gpm</x:v>
      </x:c>
      <x:c r="D6" s="17" t="str">
        <x:v>The pump calculation assumes active forward flow.</x:v>
      </x:c>
      <x:c r="E6" s="17" t="str">
        <x:v>Reject</x:v>
      </x:c>
    </x:row>
    <x:row r="7">
      <x:c r="A7" s="17" t="str">
        <x:v>L4</x:v>
      </x:c>
      <x:c r="B7" s="17" t="str">
        <x:v>Rated flow</x:v>
      </x:c>
      <x:c r="C7" s="17" t="str">
        <x:v>&gt; 0 gpm</x:v>
      </x:c>
      <x:c r="D7" s="17" t="str">
        <x:v>A non-positive rating is not meaningful.</x:v>
      </x:c>
      <x:c r="E7" s="17" t="str">
        <x:v>Reject</x:v>
      </x:c>
    </x:row>
    <x:row r="8">
      <x:c r="A8" s="17" t="str">
        <x:v>L5</x:v>
      </x:c>
      <x:c r="B8" s="17" t="str">
        <x:v>Specific gravity</x:v>
      </x:c>
      <x:c r="C8" s="17" t="str">
        <x:v>&gt; 0</x:v>
      </x:c>
      <x:c r="D8" s="17" t="str">
        <x:v>Division by zero/nonphysical fluid property must be prevented.</x:v>
      </x:c>
      <x:c r="E8" s="17" t="str">
        <x:v>Reject</x:v>
      </x:c>
    </x:row>
    <x:row r="9">
      <x:c r="A9" s="17" t="str">
        <x:v>L6</x:v>
      </x:c>
      <x:c r="B9" s="17" t="str">
        <x:v>Pump efficiency</x:v>
      </x:c>
      <x:c r="C9" s="17" t="str">
        <x:v>&gt; 0 and &lt;= 100%</x:v>
      </x:c>
      <x:c r="D9" s="17" t="str">
        <x:v>Efficiency outside this range is unsupported.</x:v>
      </x:c>
      <x:c r="E9" s="17" t="str">
        <x:v>Reject</x:v>
      </x:c>
    </x:row>
    <x:row r="10">
      <x:c r="A10" s="17" t="str">
        <x:v>R1</x:v>
      </x:c>
      <x:c r="B10" s="17" t="str">
        <x:v>Discharge vs suction</x:v>
      </x:c>
      <x:c r="C10" s="17" t="str">
        <x:v>Discharge pressure &gt; suction pressure</x:v>
      </x:c>
      <x:c r="D10" s="17" t="str">
        <x:v>This model assumes the pump adds pressure.</x:v>
      </x:c>
      <x:c r="E10" s="17" t="str">
        <x:v>Reject combination</x:v>
      </x:c>
    </x:row>
    <x:row r="11">
      <x:c r="A11" s="17" t="str">
        <x:v>R2</x:v>
      </x:c>
      <x:c r="B11" s="17" t="str">
        <x:v>Requested vs rated flow</x:v>
      </x:c>
      <x:c r="C11" s="17" t="str">
        <x:v>Flow rate &lt;= rated flow</x:v>
      </x:c>
      <x:c r="D11" s="17" t="str">
        <x:v>Requested operation cannot exceed the exercise's pump rating.</x:v>
      </x:c>
      <x:c r="E11" s="17" t="str">
        <x:v>Reject combination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9" hidden="0" customWidth="1"/>
    <x:col min="7" max="7" width="13" hidden="0" customWidth="1"/>
    <x:col min="8" max="8" width="18" hidden="0" customWidth="1"/>
    <x:col min="9" max="9" width="18" hidden="0" customWidth="1"/>
    <x:col min="10" max="10" width="28" hidden="0" customWidth="1"/>
  </x:cols>
  <x:sheetData>
    <x:row r="1">
      <x:c r="A1" s="5" t="str">
        <x:v>Reference Cases — Use for Verification, Not for Copying Logic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24" t="str">
        <x:v>Case</x:v>
      </x:c>
      <x:c r="B3" s="24" t="str">
        <x:v>Suction kPa</x:v>
      </x:c>
      <x:c r="C3" s="24" t="str">
        <x:v>Discharge kPa</x:v>
      </x:c>
      <x:c r="D3" s="24" t="str">
        <x:v>Flow gpm</x:v>
      </x:c>
      <x:c r="E3" s="24" t="str">
        <x:v>Rated gpm</x:v>
      </x:c>
      <x:c r="F3" s="24" t="str">
        <x:v>SG</x:v>
      </x:c>
      <x:c r="G3" s="24" t="str">
        <x:v>Efficiency %</x:v>
      </x:c>
      <x:c r="H3" s="24" t="str">
        <x:v>Expected Head ft</x:v>
      </x:c>
      <x:c r="I3" s="24" t="str">
        <x:v>Expected Brake HP</x:v>
      </x:c>
      <x:c r="J3" s="24" t="str">
        <x:v>Purpose</x:v>
      </x:c>
    </x:row>
    <x:row r="4">
      <x:c r="A4" s="17" t="str">
        <x:v>RC-1</x:v>
      </x:c>
      <x:c r="B4" s="36" t="n">
        <x:v>110</x:v>
      </x:c>
      <x:c r="C4" s="36" t="n">
        <x:v>420</x:v>
      </x:c>
      <x:c r="D4" s="36" t="n">
        <x:v>145</x:v>
      </x:c>
      <x:c r="E4" s="36" t="n">
        <x:v>180</x:v>
      </x:c>
      <x:c r="F4" s="36" t="n">
        <x:v>1</x:v>
      </x:c>
      <x:c r="G4" s="36" t="n">
        <x:v>72</x:v>
      </x:c>
      <x:c r="H4" s="36" t="n">
        <x:v>103.86148321333883</x:v>
      </x:c>
      <x:c r="I4" s="36" t="n">
        <x:v>5.281956743102599</x:v>
      </x:c>
      <x:c r="J4" s="17" t="str">
        <x:v>Normal reference</x:v>
      </x:c>
    </x:row>
    <x:row r="5">
      <x:c r="A5" s="17" t="str">
        <x:v>RC-2</x:v>
      </x:c>
      <x:c r="B5" s="36" t="n">
        <x:v>95</x:v>
      </x:c>
      <x:c r="C5" s="36" t="n">
        <x:v>360</x:v>
      </x:c>
      <x:c r="D5" s="36" t="n">
        <x:v>120</x:v>
      </x:c>
      <x:c r="E5" s="36" t="n">
        <x:v>160</x:v>
      </x:c>
      <x:c r="F5" s="36" t="n">
        <x:v>0.92</x:v>
      </x:c>
      <x:c r="G5" s="36" t="n">
        <x:v>75</x:v>
      </x:c>
      <x:c r="H5" s="36" t="n">
        <x:v>96.50523510355818</x:v>
      </x:c>
      <x:c r="I5" s="36" t="n">
        <x:v>3.5872653048595367</x:v>
      </x:c>
      <x:c r="J5" s="17" t="str">
        <x:v>Second normal reference</x:v>
      </x:c>
    </x:row>
    <x:row r="6">
      <x:c r="A6" s="17" t="str">
        <x:v>RC-3</x:v>
      </x:c>
      <x:c r="B6" s="36" t="n">
        <x:v>150</x:v>
      </x:c>
      <x:c r="C6" s="36" t="n">
        <x:v>510</x:v>
      </x:c>
      <x:c r="D6" s="36" t="n">
        <x:v>150</x:v>
      </x:c>
      <x:c r="E6" s="36" t="n">
        <x:v>190</x:v>
      </x:c>
      <x:c r="F6" s="36" t="n">
        <x:v>1.1</x:v>
      </x:c>
      <x:c r="G6" s="36" t="n">
        <x:v>68</x:v>
      </x:c>
      <x:c r="H6" s="36" t="n">
        <x:v>109.64848667683866</x:v>
      </x:c>
      <x:c r="I6" s="36" t="n">
        <x:v>6.718657271865115</x:v>
      </x:c>
      <x:c r="J6" s="17" t="str">
        <x:v>Higher-pressure reference</x:v>
      </x:c>
    </x:row>
  </x:sheetData>
  <x:mergeCells>
    <x:mergeCell ref="A1:J1"/>
  </x:mergeCells>
  <x:pageMargins left="0.7" right="0.7" top="0.75" bottom="0.75" header="0.3" footer="0.3"/>
</x:worksheet>
</file>